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cor-my.sharepoint.com/personal/giovana_leardine_amcor_com/Documents/Documentos/Estágio/"/>
    </mc:Choice>
  </mc:AlternateContent>
  <xr:revisionPtr revIDLastSave="540" documentId="8_{FC79F09A-E0C9-490F-A531-4D900788520E}" xr6:coauthVersionLast="47" xr6:coauthVersionMax="47" xr10:uidLastSave="{6CD51CF8-2272-4224-9ABD-BAD5DE9C7FE7}"/>
  <workbookProtection lockStructure="1"/>
  <bookViews>
    <workbookView xWindow="-28910" yWindow="-2270" windowWidth="29020" windowHeight="15700" tabRatio="0" xr2:uid="{3C6FB3D2-34AE-4795-848A-924F6F02977A}"/>
  </bookViews>
  <sheets>
    <sheet name="Simulador" sheetId="1" r:id="rId1"/>
    <sheet name="Auxiliar" sheetId="2" state="hidden" r:id="rId2"/>
  </sheets>
  <externalReferences>
    <externalReference r:id="rId3"/>
  </externalReferences>
  <definedNames>
    <definedName name="aporte">[1]APP!$D$17</definedName>
    <definedName name="aporte_mensal">Simulador!$E$17</definedName>
    <definedName name="cinco_anos">Simulador!$A$23</definedName>
    <definedName name="dez_anos">Simulador!$A$24</definedName>
    <definedName name="dois_anos">Simulador!$A$22</definedName>
    <definedName name="investimento_mensal">Simulador!$E$11</definedName>
    <definedName name="patrimonio">[1]APP!$D$20</definedName>
    <definedName name="patrimonio_acumulado">Simulador!$E$18</definedName>
    <definedName name="percentual_investimento">Simulador!$E$10</definedName>
    <definedName name="qtd_anos">[1]APP!$D$18</definedName>
    <definedName name="rendimento_carteira" localSheetId="1">[1]APP!$D$13</definedName>
    <definedName name="rendimento_carteira">Simulador!$E$9</definedName>
    <definedName name="salario_mensal">Simulador!$E$8</definedName>
    <definedName name="taxa_fundo">Simulador!$E$16</definedName>
    <definedName name="taxa_mensal">[1]APP!$D$19</definedName>
    <definedName name="tempo_investimento">Simulador!$E$15</definedName>
    <definedName name="trinta_anos">Simulador!$A$26</definedName>
    <definedName name="vinte_anos">Simulador!$A$25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2" i="1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H4" i="2"/>
  <c r="A4" i="2"/>
  <c r="A3" i="2"/>
  <c r="E11" i="1"/>
  <c r="E17" i="1" s="1"/>
  <c r="E18" i="1" s="1"/>
  <c r="E19" i="1" s="1"/>
  <c r="I9" i="1" l="1"/>
  <c r="H18" i="1"/>
  <c r="D23" i="1"/>
  <c r="E23" i="1" s="1"/>
  <c r="D26" i="1"/>
  <c r="E26" i="1" s="1"/>
  <c r="D22" i="1"/>
  <c r="E22" i="1" s="1"/>
  <c r="D24" i="1"/>
  <c r="E24" i="1" s="1"/>
  <c r="D25" i="1"/>
  <c r="E25" i="1" s="1"/>
  <c r="I15" i="1" l="1"/>
  <c r="I12" i="1"/>
  <c r="I17" i="1"/>
  <c r="I16" i="1"/>
  <c r="I14" i="1"/>
  <c r="I13" i="1"/>
  <c r="I18" i="1" l="1"/>
</calcChain>
</file>

<file path=xl/sharedStrings.xml><?xml version="1.0" encoding="utf-8"?>
<sst xmlns="http://schemas.openxmlformats.org/spreadsheetml/2006/main" count="76" uniqueCount="38">
  <si>
    <t>SIMULADOR DE INVESTIMENTOS</t>
  </si>
  <si>
    <t>PARÂMETROS</t>
  </si>
  <si>
    <t>INVESTIMENTO</t>
  </si>
  <si>
    <t>Tempo (Anos)</t>
  </si>
  <si>
    <t>CENÁRIOS</t>
  </si>
  <si>
    <t>2 Anos</t>
  </si>
  <si>
    <t>5 Anos</t>
  </si>
  <si>
    <t>10 Anos</t>
  </si>
  <si>
    <t>20 Anos</t>
  </si>
  <si>
    <t>30 Anos</t>
  </si>
  <si>
    <t>Patrimônio</t>
  </si>
  <si>
    <t>Dividendos</t>
  </si>
  <si>
    <t>DISTRIBUIÇÃO POR PERFIL</t>
  </si>
  <si>
    <t>Salário Mensal (R$)</t>
  </si>
  <si>
    <t>Rendimento Carteira (%)</t>
  </si>
  <si>
    <t>Percentual de Investimento (%)</t>
  </si>
  <si>
    <t>Investimento Mensal (R$)</t>
  </si>
  <si>
    <t>Taxa de Rendimento Mensal (%)</t>
  </si>
  <si>
    <t>Patrimônio Acumulado (R$)</t>
  </si>
  <si>
    <t>Dividendos Mensais (R$)</t>
  </si>
  <si>
    <t>CHAVE</t>
  </si>
  <si>
    <t>PERFIL</t>
  </si>
  <si>
    <t>TIPO DE FII</t>
  </si>
  <si>
    <t>%</t>
  </si>
  <si>
    <t>Conservador</t>
  </si>
  <si>
    <t>PAPEL</t>
  </si>
  <si>
    <t>TIJOLO</t>
  </si>
  <si>
    <t>Moderado-TIJOLO</t>
  </si>
  <si>
    <t>HÍBRIDOS</t>
  </si>
  <si>
    <t>FOFs</t>
  </si>
  <si>
    <t>DESENVOLVIMENTO</t>
  </si>
  <si>
    <t>HOTELARIAS</t>
  </si>
  <si>
    <t>Moderado</t>
  </si>
  <si>
    <t>Agressivo</t>
  </si>
  <si>
    <t>PERCENTUAL SUGERIDO</t>
  </si>
  <si>
    <t>VALORES</t>
  </si>
  <si>
    <t>INVESTIMENTO MENSAL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</si>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</sst>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.00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0"/>
      <name val="Segoe UI"/>
      <family val="2"/>
    </font>
    <font>
      <b/>
      <sz val="16"/>
      <color theme="0"/>
      <name val="Segoe UI"/>
      <family val="2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0"/>
      <name val="Segoe UI"/>
      <family val="2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dotted">
        <color theme="2" tint="-0.24994659260841701"/>
      </bottom>
      <diagonal/>
    </border>
    <border>
      <left/>
      <right/>
      <top style="thick">
        <color auto="1"/>
      </top>
      <bottom style="dotted">
        <color theme="2" tint="-0.24994659260841701"/>
      </bottom>
      <diagonal/>
    </border>
    <border>
      <left/>
      <right style="thick">
        <color auto="1"/>
      </right>
      <top style="thick">
        <color auto="1"/>
      </top>
      <bottom style="dotted">
        <color theme="2" tint="-0.24994659260841701"/>
      </bottom>
      <diagonal/>
    </border>
    <border>
      <left style="thick">
        <color auto="1"/>
      </left>
      <right style="dotted">
        <color theme="0" tint="-0.499984740745262"/>
      </right>
      <top style="thick">
        <color auto="1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thick">
        <color auto="1"/>
      </top>
      <bottom style="dotted">
        <color theme="0" tint="-0.499984740745262"/>
      </bottom>
      <diagonal/>
    </border>
    <border>
      <left style="dotted">
        <color theme="0" tint="-0.499984740745262"/>
      </left>
      <right style="thick">
        <color auto="1"/>
      </right>
      <top style="thick">
        <color auto="1"/>
      </top>
      <bottom style="dotted">
        <color theme="0" tint="-0.499984740745262"/>
      </bottom>
      <diagonal/>
    </border>
    <border>
      <left style="thick">
        <color auto="1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dotted">
        <color theme="0" tint="-0.499984740745262"/>
      </left>
      <right style="thick">
        <color auto="1"/>
      </right>
      <top style="dotted">
        <color theme="0" tint="-0.499984740745262"/>
      </top>
      <bottom style="dotted">
        <color theme="0" tint="-0.499984740745262"/>
      </bottom>
      <diagonal/>
    </border>
    <border>
      <left style="thick">
        <color auto="1"/>
      </left>
      <right style="dotted">
        <color theme="0" tint="-0.499984740745262"/>
      </right>
      <top style="dotted">
        <color theme="0" tint="-0.499984740745262"/>
      </top>
      <bottom style="thick">
        <color auto="1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thick">
        <color auto="1"/>
      </bottom>
      <diagonal/>
    </border>
    <border>
      <left style="dotted">
        <color theme="0" tint="-0.499984740745262"/>
      </left>
      <right style="thick">
        <color auto="1"/>
      </right>
      <top style="dotted">
        <color theme="0" tint="-0.499984740745262"/>
      </top>
      <bottom style="thick">
        <color auto="1"/>
      </bottom>
      <diagonal/>
    </border>
    <border>
      <left style="thick">
        <color auto="1"/>
      </left>
      <right style="dotted">
        <color theme="0" tint="-0.499984740745262"/>
      </right>
      <top style="dotted">
        <color theme="2" tint="-0.24994659260841701"/>
      </top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2" tint="-0.24994659260841701"/>
      </top>
      <bottom style="dotted">
        <color theme="0" tint="-0.499984740745262"/>
      </bottom>
      <diagonal/>
    </border>
    <border>
      <left style="dotted">
        <color theme="0" tint="-0.499984740745262"/>
      </left>
      <right style="thick">
        <color auto="1"/>
      </right>
      <top style="dotted">
        <color theme="2" tint="-0.24994659260841701"/>
      </top>
      <bottom style="dotted">
        <color theme="0" tint="-0.499984740745262"/>
      </bottom>
      <diagonal/>
    </border>
    <border>
      <left style="thick">
        <color auto="1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/>
      <bottom style="dotted">
        <color theme="0" tint="-0.499984740745262"/>
      </bottom>
      <diagonal/>
    </border>
    <border>
      <left style="thick">
        <color auto="1"/>
      </left>
      <right/>
      <top style="dotted">
        <color theme="0" tint="-0.499984740745262"/>
      </top>
      <bottom style="thick">
        <color auto="1"/>
      </bottom>
      <diagonal/>
    </border>
    <border>
      <left/>
      <right/>
      <top style="dotted">
        <color theme="0" tint="-0.499984740745262"/>
      </top>
      <bottom style="thick">
        <color auto="1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thick">
        <color auto="1"/>
      </bottom>
      <diagonal/>
    </border>
    <border>
      <left style="thick">
        <color auto="1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 style="thick">
        <color auto="1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thick">
        <color auto="1"/>
      </left>
      <right/>
      <top style="thick">
        <color auto="1"/>
      </top>
      <bottom style="dotted">
        <color theme="0" tint="-0.499984740745262"/>
      </bottom>
      <diagonal/>
    </border>
    <border>
      <left/>
      <right/>
      <top style="thick">
        <color auto="1"/>
      </top>
      <bottom style="dotted">
        <color theme="0" tint="-0.499984740745262"/>
      </bottom>
      <diagonal/>
    </border>
    <border>
      <left/>
      <right style="thick">
        <color auto="1"/>
      </right>
      <top style="thick">
        <color auto="1"/>
      </top>
      <bottom style="dotted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dotted">
        <color theme="0" tint="-0.499984740745262"/>
      </left>
      <right style="thick">
        <color auto="1"/>
      </right>
      <top/>
      <bottom style="dotted">
        <color theme="0" tint="-0.499984740745262"/>
      </bottom>
      <diagonal/>
    </border>
    <border>
      <left/>
      <right style="thick">
        <color auto="1"/>
      </right>
      <top/>
      <bottom style="dotted">
        <color theme="0" tint="-0.49998474074526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5" fillId="5" borderId="0" applyNumberFormat="0" applyBorder="0" applyAlignment="0" applyProtection="0"/>
  </cellStyleXfs>
  <cellXfs count="80">
    <xf numFmtId="0" fontId="0" fillId="0" borderId="0" xfId="0"/>
    <xf numFmtId="0" fontId="0" fillId="2" borderId="0" xfId="0" applyFill="1"/>
    <xf numFmtId="43" fontId="0" fillId="0" borderId="0" xfId="1" applyFont="1"/>
    <xf numFmtId="0" fontId="0" fillId="0" borderId="0" xfId="0" applyAlignment="1">
      <alignment horizontal="center"/>
    </xf>
    <xf numFmtId="0" fontId="8" fillId="0" borderId="0" xfId="0" applyFont="1"/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8" fontId="0" fillId="8" borderId="14" xfId="0" applyNumberFormat="1" applyFill="1" applyBorder="1"/>
    <xf numFmtId="8" fontId="0" fillId="8" borderId="15" xfId="0" applyNumberFormat="1" applyFill="1" applyBorder="1"/>
    <xf numFmtId="8" fontId="0" fillId="8" borderId="8" xfId="0" applyNumberFormat="1" applyFill="1" applyBorder="1"/>
    <xf numFmtId="8" fontId="0" fillId="8" borderId="9" xfId="0" applyNumberFormat="1" applyFill="1" applyBorder="1"/>
    <xf numFmtId="8" fontId="0" fillId="8" borderId="11" xfId="0" applyNumberFormat="1" applyFill="1" applyBorder="1"/>
    <xf numFmtId="8" fontId="0" fillId="8" borderId="12" xfId="0" applyNumberFormat="1" applyFill="1" applyBorder="1"/>
    <xf numFmtId="164" fontId="0" fillId="0" borderId="9" xfId="2" applyNumberFormat="1" applyFont="1" applyBorder="1" applyAlignment="1" applyProtection="1">
      <alignment horizontal="center"/>
      <protection locked="0"/>
    </xf>
    <xf numFmtId="10" fontId="0" fillId="0" borderId="9" xfId="3" applyNumberFormat="1" applyFont="1" applyBorder="1" applyAlignment="1" applyProtection="1">
      <alignment horizontal="center"/>
      <protection locked="0"/>
    </xf>
    <xf numFmtId="9" fontId="0" fillId="0" borderId="9" xfId="3" applyFont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165" fontId="0" fillId="0" borderId="9" xfId="3" applyNumberFormat="1" applyFont="1" applyBorder="1" applyAlignment="1" applyProtection="1">
      <alignment horizontal="center"/>
      <protection locked="0"/>
    </xf>
    <xf numFmtId="164" fontId="0" fillId="7" borderId="15" xfId="2" applyNumberFormat="1" applyFont="1" applyFill="1" applyBorder="1" applyAlignment="1">
      <alignment horizontal="center"/>
    </xf>
    <xf numFmtId="164" fontId="0" fillId="7" borderId="9" xfId="2" applyNumberFormat="1" applyFont="1" applyFill="1" applyBorder="1" applyAlignment="1">
      <alignment horizontal="center"/>
    </xf>
    <xf numFmtId="164" fontId="0" fillId="7" borderId="12" xfId="2" applyNumberFormat="1" applyFont="1" applyFill="1" applyBorder="1" applyAlignment="1">
      <alignment horizontal="center"/>
    </xf>
    <xf numFmtId="0" fontId="8" fillId="10" borderId="0" xfId="0" applyFont="1" applyFill="1"/>
    <xf numFmtId="0" fontId="8" fillId="10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5" fillId="5" borderId="0" xfId="5"/>
    <xf numFmtId="9" fontId="5" fillId="5" borderId="0" xfId="3" applyFont="1" applyFill="1"/>
    <xf numFmtId="0" fontId="0" fillId="0" borderId="29" xfId="0" applyBorder="1"/>
    <xf numFmtId="0" fontId="0" fillId="0" borderId="29" xfId="0" applyBorder="1" applyAlignment="1">
      <alignment horizontal="center"/>
    </xf>
    <xf numFmtId="9" fontId="0" fillId="0" borderId="29" xfId="0" applyNumberFormat="1" applyBorder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9" fontId="0" fillId="11" borderId="0" xfId="0" applyNumberFormat="1" applyFill="1" applyAlignment="1">
      <alignment horizontal="center"/>
    </xf>
    <xf numFmtId="0" fontId="6" fillId="9" borderId="4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9" fontId="6" fillId="9" borderId="11" xfId="0" applyNumberFormat="1" applyFont="1" applyFill="1" applyBorder="1" applyAlignment="1">
      <alignment horizontal="center" vertical="center"/>
    </xf>
    <xf numFmtId="44" fontId="6" fillId="9" borderId="12" xfId="0" applyNumberFormat="1" applyFont="1" applyFill="1" applyBorder="1" applyAlignment="1">
      <alignment horizontal="center" vertical="center"/>
    </xf>
    <xf numFmtId="44" fontId="7" fillId="8" borderId="12" xfId="2" applyFont="1" applyFill="1" applyBorder="1"/>
    <xf numFmtId="0" fontId="0" fillId="7" borderId="7" xfId="0" applyFill="1" applyBorder="1" applyAlignment="1">
      <alignment horizontal="center" vertical="center"/>
    </xf>
    <xf numFmtId="9" fontId="0" fillId="7" borderId="8" xfId="3" applyFont="1" applyFill="1" applyBorder="1" applyAlignment="1">
      <alignment horizontal="center" vertical="center"/>
    </xf>
    <xf numFmtId="44" fontId="0" fillId="7" borderId="9" xfId="0" applyNumberFormat="1" applyFill="1" applyBorder="1" applyAlignment="1">
      <alignment vertical="center"/>
    </xf>
    <xf numFmtId="0" fontId="10" fillId="0" borderId="33" xfId="4" applyFont="1" applyFill="1" applyBorder="1" applyAlignment="1" applyProtection="1">
      <alignment horizontal="center"/>
      <protection locked="0"/>
    </xf>
    <xf numFmtId="0" fontId="0" fillId="7" borderId="21" xfId="0" applyFill="1" applyBorder="1" applyAlignment="1">
      <alignment horizontal="left"/>
    </xf>
    <xf numFmtId="0" fontId="0" fillId="7" borderId="22" xfId="0" applyFill="1" applyBorder="1" applyAlignment="1">
      <alignment horizontal="left"/>
    </xf>
    <xf numFmtId="0" fontId="0" fillId="7" borderId="23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7" borderId="19" xfId="0" applyFill="1" applyBorder="1" applyAlignment="1">
      <alignment horizontal="left"/>
    </xf>
    <xf numFmtId="0" fontId="0" fillId="7" borderId="20" xfId="0" applyFill="1" applyBorder="1" applyAlignment="1">
      <alignment horizontal="left"/>
    </xf>
    <xf numFmtId="0" fontId="3" fillId="3" borderId="26" xfId="0" applyFont="1" applyFill="1" applyBorder="1" applyAlignment="1">
      <alignment horizontal="left" vertical="center"/>
    </xf>
    <xf numFmtId="0" fontId="3" fillId="3" borderId="27" xfId="0" applyFont="1" applyFill="1" applyBorder="1" applyAlignment="1">
      <alignment horizontal="left" vertical="center"/>
    </xf>
    <xf numFmtId="0" fontId="3" fillId="3" borderId="28" xfId="0" applyFont="1" applyFill="1" applyBorder="1" applyAlignment="1">
      <alignment horizontal="left" vertical="center"/>
    </xf>
    <xf numFmtId="0" fontId="2" fillId="2" borderId="0" xfId="0" applyFont="1" applyFill="1" applyAlignment="1" applyProtection="1">
      <alignment horizontal="left" vertical="center" indent="6"/>
    </xf>
    <xf numFmtId="0" fontId="0" fillId="8" borderId="7" xfId="0" applyFill="1" applyBorder="1" applyAlignment="1">
      <alignment horizontal="left"/>
    </xf>
    <xf numFmtId="0" fontId="0" fillId="8" borderId="8" xfId="0" applyFill="1" applyBorder="1" applyAlignment="1">
      <alignment horizontal="left"/>
    </xf>
    <xf numFmtId="0" fontId="0" fillId="8" borderId="10" xfId="0" applyFill="1" applyBorder="1" applyAlignment="1">
      <alignment horizontal="left"/>
    </xf>
    <xf numFmtId="0" fontId="0" fillId="8" borderId="11" xfId="0" applyFill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9" borderId="30" xfId="0" applyFont="1" applyFill="1" applyBorder="1" applyAlignment="1">
      <alignment horizontal="center" vertical="center"/>
    </xf>
    <xf numFmtId="0" fontId="3" fillId="9" borderId="31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8" borderId="11" xfId="0" applyFont="1" applyFill="1" applyBorder="1" applyAlignment="1">
      <alignment horizontal="left"/>
    </xf>
    <xf numFmtId="0" fontId="0" fillId="7" borderId="10" xfId="0" applyFill="1" applyBorder="1" applyAlignment="1">
      <alignment horizontal="left"/>
    </xf>
    <xf numFmtId="0" fontId="0" fillId="7" borderId="11" xfId="0" applyFill="1" applyBorder="1" applyAlignment="1">
      <alignment horizontal="left"/>
    </xf>
    <xf numFmtId="0" fontId="0" fillId="8" borderId="13" xfId="0" applyFill="1" applyBorder="1" applyAlignment="1">
      <alignment horizontal="left"/>
    </xf>
    <xf numFmtId="0" fontId="0" fillId="8" borderId="14" xfId="0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14" xfId="0" applyFill="1" applyBorder="1" applyAlignment="1">
      <alignment horizontal="left"/>
    </xf>
    <xf numFmtId="0" fontId="0" fillId="7" borderId="7" xfId="0" applyFill="1" applyBorder="1" applyAlignment="1">
      <alignment horizontal="left"/>
    </xf>
    <xf numFmtId="0" fontId="0" fillId="7" borderId="8" xfId="0" applyFill="1" applyBorder="1" applyAlignment="1">
      <alignment horizontal="left"/>
    </xf>
    <xf numFmtId="0" fontId="3" fillId="6" borderId="30" xfId="0" applyFont="1" applyFill="1" applyBorder="1" applyAlignment="1">
      <alignment horizontal="left" vertical="center"/>
    </xf>
    <xf numFmtId="0" fontId="3" fillId="6" borderId="31" xfId="0" applyFont="1" applyFill="1" applyBorder="1" applyAlignment="1">
      <alignment horizontal="left" vertical="center"/>
    </xf>
    <xf numFmtId="0" fontId="3" fillId="6" borderId="32" xfId="0" applyFont="1" applyFill="1" applyBorder="1" applyAlignment="1">
      <alignment horizontal="left" vertical="center"/>
    </xf>
    <xf numFmtId="0" fontId="3" fillId="6" borderId="24" xfId="0" applyFont="1" applyFill="1" applyBorder="1" applyAlignment="1">
      <alignment horizontal="left" vertical="center"/>
    </xf>
    <xf numFmtId="0" fontId="3" fillId="6" borderId="25" xfId="0" applyFont="1" applyFill="1" applyBorder="1" applyAlignment="1">
      <alignment horizontal="left" vertical="center"/>
    </xf>
    <xf numFmtId="0" fontId="3" fillId="6" borderId="34" xfId="0" applyFont="1" applyFill="1" applyBorder="1" applyAlignment="1">
      <alignment horizontal="left" vertical="center"/>
    </xf>
  </cellXfs>
  <cellStyles count="6">
    <cellStyle name="Bom" xfId="4" builtinId="26"/>
    <cellStyle name="Moeda" xfId="2" builtinId="4"/>
    <cellStyle name="Neutro" xfId="5" builtinId="28"/>
    <cellStyle name="Normal" xfId="0" builtinId="0"/>
    <cellStyle name="Porcentagem" xfId="3" builtinId="5"/>
    <cellStyle name="Vírgula" xfId="1" builtinId="3"/>
  </cellStyles>
  <dxfs count="3">
    <dxf>
      <font>
        <color rgb="FF9C5700"/>
      </font>
      <fill>
        <patternFill>
          <fgColor rgb="FFFFCC66"/>
          <bgColor rgb="FFFFEB9C"/>
        </patternFill>
      </fill>
    </dxf>
    <dxf>
      <font>
        <color rgb="FF006100"/>
      </font>
      <fill>
        <patternFill>
          <fgColor rgb="FFC6EFCE"/>
          <bgColor theme="9" tint="0.79995117038483843"/>
        </patternFill>
      </fill>
    </dxf>
    <dxf>
      <font>
        <color rgb="FF9C0006"/>
      </font>
      <fill>
        <patternFill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FFFF99"/>
      <color rgb="FFFFC7CE"/>
      <color rgb="FF9C0006"/>
      <color rgb="FFC6EFCE"/>
      <color rgb="FF006100"/>
      <color rgb="FF9C5700"/>
      <color rgb="FFFFEB9C"/>
      <color rgb="FFFFCC66"/>
      <color rgb="FFFFCC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Simulador!$H$11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3F1-4FB6-A71F-E32529EA7A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3F1-4FB6-A71F-E32529EA7A7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3F1-4FB6-A71F-E32529EA7A7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3F1-4FB6-A71F-E32529EA7A7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3F1-4FB6-A71F-E32529EA7A7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3F1-4FB6-A71F-E32529EA7A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Simulador!$G$12:$G$17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Simulador!$H$12:$H$17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1-4FB6-A71F-E32529EA7A75}"/>
            </c:ext>
          </c:extLst>
        </c:ser>
        <c:ser>
          <c:idx val="1"/>
          <c:order val="1"/>
          <c:tx>
            <c:strRef>
              <c:f>Simulador!$I$11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A66-4C39-BDF3-9FAA3E059E6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A66-4C39-BDF3-9FAA3E059E6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A66-4C39-BDF3-9FAA3E059E6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A66-4C39-BDF3-9FAA3E059E6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A66-4C39-BDF3-9FAA3E059E6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A66-4C39-BDF3-9FAA3E059E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Simulador!$G$12:$G$17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Simulador!$I$12:$I$17</c:f>
              <c:numCache>
                <c:formatCode>_("R$"* #,##0.00_);_("R$"* \(#,##0.00\);_("R$"* "-"??_);_(@_)</c:formatCode>
                <c:ptCount val="6"/>
                <c:pt idx="0">
                  <c:v>128</c:v>
                </c:pt>
                <c:pt idx="1">
                  <c:v>140</c:v>
                </c:pt>
                <c:pt idx="2">
                  <c:v>32</c:v>
                </c:pt>
                <c:pt idx="3">
                  <c:v>20</c:v>
                </c:pt>
                <c:pt idx="4">
                  <c:v>40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1-4FB6-A71F-E32529EA7A7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186283406024065E-2"/>
          <c:y val="0.65866653665195873"/>
          <c:w val="0.94306237742587007"/>
          <c:h val="0.304181760561663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0</xdr:rowOff>
    </xdr:from>
    <xdr:to>
      <xdr:col>2</xdr:col>
      <xdr:colOff>330200</xdr:colOff>
      <xdr:row>4</xdr:row>
      <xdr:rowOff>152400</xdr:rowOff>
    </xdr:to>
    <xdr:pic>
      <xdr:nvPicPr>
        <xdr:cNvPr id="5" name="Gráfico 4" descr="Dinheiro com preenchimento sólido">
          <a:extLst>
            <a:ext uri="{FF2B5EF4-FFF2-40B4-BE49-F238E27FC236}">
              <a16:creationId xmlns:a16="http://schemas.microsoft.com/office/drawing/2014/main" id="{94941B18-7E73-1F0D-166B-35F0B27E2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4150" y="0"/>
          <a:ext cx="914400" cy="914400"/>
        </a:xfrm>
        <a:prstGeom prst="rect">
          <a:avLst/>
        </a:prstGeom>
      </xdr:spPr>
    </xdr:pic>
    <xdr:clientData/>
  </xdr:twoCellAnchor>
  <xdr:twoCellAnchor>
    <xdr:from>
      <xdr:col>5</xdr:col>
      <xdr:colOff>577850</xdr:colOff>
      <xdr:row>18</xdr:row>
      <xdr:rowOff>184150</xdr:rowOff>
    </xdr:from>
    <xdr:to>
      <xdr:col>9</xdr:col>
      <xdr:colOff>12700</xdr:colOff>
      <xdr:row>29</xdr:row>
      <xdr:rowOff>44450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DDD978-943D-8D9B-ADEE-DA2E19430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iovana.leardinear\Downloads\a04b81b1-8e35-4e72-aeb9-98aed8ed4403.xlsx" TargetMode="External"/><Relationship Id="rId1" Type="http://schemas.openxmlformats.org/officeDocument/2006/relationships/externalLinkPath" Target="file:///C:\Users\giovana.leardinear\Downloads\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13">
          <cell r="D13">
            <v>6.0000000000000001E-3</v>
          </cell>
        </row>
        <row r="17">
          <cell r="D17">
            <v>600</v>
          </cell>
        </row>
        <row r="18">
          <cell r="D18">
            <v>5</v>
          </cell>
        </row>
        <row r="19">
          <cell r="D19">
            <v>1.0789999999999999E-2</v>
          </cell>
        </row>
        <row r="20">
          <cell r="D20">
            <v>50266.148399092584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4CC6-2EF2-4FE9-9875-B330CA8D9C61}">
  <dimension ref="A1:M30"/>
  <sheetViews>
    <sheetView showGridLines="0" showRowColHeaders="0" tabSelected="1" workbookViewId="0">
      <selection activeCell="E16" sqref="E16"/>
    </sheetView>
  </sheetViews>
  <sheetFormatPr defaultColWidth="0" defaultRowHeight="14.5" zeroHeight="1" x14ac:dyDescent="0.35"/>
  <cols>
    <col min="1" max="1" width="2.1796875" customWidth="1"/>
    <col min="2" max="2" width="8.81640625" customWidth="1"/>
    <col min="3" max="3" width="8.7265625" customWidth="1"/>
    <col min="4" max="4" width="14.90625" customWidth="1"/>
    <col min="5" max="5" width="12.36328125" customWidth="1"/>
    <col min="6" max="6" width="8.7265625" customWidth="1"/>
    <col min="7" max="7" width="17.453125" bestFit="1" customWidth="1"/>
    <col min="8" max="8" width="21.08984375" bestFit="1" customWidth="1"/>
    <col min="9" max="9" width="12.7265625" bestFit="1" customWidth="1"/>
    <col min="10" max="10" width="1.36328125" customWidth="1"/>
    <col min="11" max="13" width="10.1796875" hidden="1" customWidth="1"/>
    <col min="14" max="16384" width="8.7265625" hidden="1"/>
  </cols>
  <sheetData>
    <row r="1" spans="2:11" s="1" customFormat="1" ht="14.5" customHeight="1" x14ac:dyDescent="0.35">
      <c r="C1" s="52" t="s">
        <v>0</v>
      </c>
      <c r="D1" s="52"/>
      <c r="E1" s="52"/>
      <c r="F1" s="52"/>
      <c r="G1" s="52"/>
      <c r="H1" s="52"/>
      <c r="I1" s="52"/>
      <c r="J1" s="52"/>
    </row>
    <row r="2" spans="2:11" s="1" customFormat="1" ht="14.5" customHeight="1" x14ac:dyDescent="0.35">
      <c r="C2" s="52"/>
      <c r="D2" s="52"/>
      <c r="E2" s="52"/>
      <c r="F2" s="52"/>
      <c r="G2" s="52"/>
      <c r="H2" s="52"/>
      <c r="I2" s="52"/>
      <c r="J2" s="52"/>
    </row>
    <row r="3" spans="2:11" s="1" customFormat="1" ht="16.5" customHeight="1" x14ac:dyDescent="0.35">
      <c r="C3" s="52"/>
      <c r="D3" s="52"/>
      <c r="E3" s="52"/>
      <c r="F3" s="52"/>
      <c r="G3" s="52"/>
      <c r="H3" s="52"/>
      <c r="I3" s="52"/>
      <c r="J3" s="52"/>
    </row>
    <row r="4" spans="2:11" s="1" customFormat="1" ht="14.5" customHeight="1" x14ac:dyDescent="0.35">
      <c r="C4" s="52"/>
      <c r="D4" s="52"/>
      <c r="E4" s="52"/>
      <c r="F4" s="52"/>
      <c r="G4" s="52"/>
      <c r="H4" s="52"/>
      <c r="I4" s="52"/>
      <c r="J4" s="52"/>
    </row>
    <row r="5" spans="2:11" s="1" customFormat="1" ht="14.5" customHeight="1" x14ac:dyDescent="0.35">
      <c r="C5" s="52"/>
      <c r="D5" s="52"/>
      <c r="E5" s="52"/>
      <c r="F5" s="52"/>
      <c r="G5" s="52"/>
      <c r="H5" s="52"/>
      <c r="I5" s="52"/>
      <c r="J5" s="52"/>
    </row>
    <row r="6" spans="2:11" ht="15" thickBot="1" x14ac:dyDescent="0.4"/>
    <row r="7" spans="2:11" ht="30" customHeight="1" thickTop="1" x14ac:dyDescent="0.35">
      <c r="B7" s="49" t="s">
        <v>1</v>
      </c>
      <c r="C7" s="50"/>
      <c r="D7" s="50"/>
      <c r="E7" s="51"/>
      <c r="G7" s="59" t="s">
        <v>12</v>
      </c>
      <c r="H7" s="60"/>
      <c r="I7" s="61"/>
    </row>
    <row r="8" spans="2:11" x14ac:dyDescent="0.35">
      <c r="B8" s="43" t="s">
        <v>13</v>
      </c>
      <c r="C8" s="44"/>
      <c r="D8" s="45"/>
      <c r="E8" s="13">
        <v>4000</v>
      </c>
      <c r="G8" s="62" t="s">
        <v>21</v>
      </c>
      <c r="H8" s="63"/>
      <c r="I8" s="42" t="s">
        <v>32</v>
      </c>
    </row>
    <row r="9" spans="2:11" ht="15" thickBot="1" x14ac:dyDescent="0.4">
      <c r="B9" s="43" t="s">
        <v>14</v>
      </c>
      <c r="C9" s="44"/>
      <c r="D9" s="45"/>
      <c r="E9" s="14">
        <v>6.0000000000000001E-3</v>
      </c>
      <c r="G9" s="64" t="s">
        <v>36</v>
      </c>
      <c r="H9" s="65"/>
      <c r="I9" s="38">
        <f>investimento_mensal</f>
        <v>400</v>
      </c>
    </row>
    <row r="10" spans="2:11" ht="15.5" thickTop="1" thickBot="1" x14ac:dyDescent="0.4">
      <c r="B10" s="43" t="s">
        <v>15</v>
      </c>
      <c r="C10" s="44"/>
      <c r="D10" s="45"/>
      <c r="E10" s="15">
        <v>0.1</v>
      </c>
      <c r="K10" s="2"/>
    </row>
    <row r="11" spans="2:11" ht="15.5" thickTop="1" thickBot="1" x14ac:dyDescent="0.4">
      <c r="B11" s="46" t="s">
        <v>16</v>
      </c>
      <c r="C11" s="47"/>
      <c r="D11" s="48"/>
      <c r="E11" s="20">
        <f>E8*E10</f>
        <v>400</v>
      </c>
      <c r="G11" s="32" t="s">
        <v>22</v>
      </c>
      <c r="H11" s="33" t="s">
        <v>34</v>
      </c>
      <c r="I11" s="34" t="s">
        <v>35</v>
      </c>
    </row>
    <row r="12" spans="2:11" ht="15.5" customHeight="1" thickTop="1" thickBot="1" x14ac:dyDescent="0.4">
      <c r="G12" s="39" t="s">
        <v>25</v>
      </c>
      <c r="H12" s="40">
        <f>VLOOKUP($I$8&amp;"-"&amp;G12,Auxiliar!A:D,4,FALSE)</f>
        <v>0.32</v>
      </c>
      <c r="I12" s="41">
        <f t="shared" ref="I12:I17" si="0">$I$9*H12</f>
        <v>128</v>
      </c>
    </row>
    <row r="13" spans="2:11" ht="15.5" customHeight="1" thickTop="1" x14ac:dyDescent="0.35">
      <c r="B13" s="74" t="s">
        <v>2</v>
      </c>
      <c r="C13" s="75"/>
      <c r="D13" s="75"/>
      <c r="E13" s="76"/>
      <c r="G13" s="39" t="s">
        <v>26</v>
      </c>
      <c r="H13" s="40">
        <f>VLOOKUP($I$8&amp;"-"&amp;G13,Auxiliar!A:D,4,FALSE)</f>
        <v>0.35</v>
      </c>
      <c r="I13" s="41">
        <f t="shared" si="0"/>
        <v>140</v>
      </c>
    </row>
    <row r="14" spans="2:11" x14ac:dyDescent="0.35">
      <c r="B14" s="77"/>
      <c r="C14" s="78"/>
      <c r="D14" s="78"/>
      <c r="E14" s="79"/>
      <c r="G14" s="39" t="s">
        <v>28</v>
      </c>
      <c r="H14" s="40">
        <f>VLOOKUP($I$8&amp;"-"&amp;G14,Auxiliar!A:D,4,FALSE)</f>
        <v>0.08</v>
      </c>
      <c r="I14" s="41">
        <f t="shared" si="0"/>
        <v>32</v>
      </c>
    </row>
    <row r="15" spans="2:11" x14ac:dyDescent="0.35">
      <c r="B15" s="70" t="s">
        <v>3</v>
      </c>
      <c r="C15" s="71"/>
      <c r="D15" s="71"/>
      <c r="E15" s="16">
        <v>10</v>
      </c>
      <c r="G15" s="39" t="s">
        <v>29</v>
      </c>
      <c r="H15" s="40">
        <f>VLOOKUP($I$8&amp;"-"&amp;G15,Auxiliar!A:D,4,FALSE)</f>
        <v>0.05</v>
      </c>
      <c r="I15" s="41">
        <f t="shared" si="0"/>
        <v>20</v>
      </c>
    </row>
    <row r="16" spans="2:11" x14ac:dyDescent="0.35">
      <c r="B16" s="70" t="s">
        <v>17</v>
      </c>
      <c r="C16" s="71"/>
      <c r="D16" s="71"/>
      <c r="E16" s="17">
        <v>1.0789999999999999E-2</v>
      </c>
      <c r="G16" s="39" t="s">
        <v>30</v>
      </c>
      <c r="H16" s="40">
        <f>VLOOKUP($I$8&amp;"-"&amp;G16,Auxiliar!A:D,4,FALSE)</f>
        <v>0.1</v>
      </c>
      <c r="I16" s="41">
        <f t="shared" si="0"/>
        <v>40</v>
      </c>
    </row>
    <row r="17" spans="1:9" x14ac:dyDescent="0.35">
      <c r="B17" s="70" t="s">
        <v>16</v>
      </c>
      <c r="C17" s="71"/>
      <c r="D17" s="71"/>
      <c r="E17" s="18">
        <f>investimento_mensal</f>
        <v>400</v>
      </c>
      <c r="G17" s="39" t="s">
        <v>31</v>
      </c>
      <c r="H17" s="40">
        <f>VLOOKUP($I$8&amp;"-"&amp;G17,Auxiliar!A:D,4,FALSE)</f>
        <v>0.1</v>
      </c>
      <c r="I17" s="41">
        <f t="shared" si="0"/>
        <v>40</v>
      </c>
    </row>
    <row r="18" spans="1:9" ht="15" thickBot="1" x14ac:dyDescent="0.4">
      <c r="B18" s="72" t="s">
        <v>18</v>
      </c>
      <c r="C18" s="73"/>
      <c r="D18" s="73"/>
      <c r="E18" s="19">
        <f>FV(taxa_fundo,(tempo_investimento*12),(aporte_mensal*-1))</f>
        <v>97313.685012068876</v>
      </c>
      <c r="G18" s="35" t="s">
        <v>37</v>
      </c>
      <c r="H18" s="36">
        <f>SUM(H12:H17)</f>
        <v>0.99999999999999989</v>
      </c>
      <c r="I18" s="37">
        <f>SUM(I12:I17)</f>
        <v>400</v>
      </c>
    </row>
    <row r="19" spans="1:9" ht="15.5" thickTop="1" thickBot="1" x14ac:dyDescent="0.4">
      <c r="B19" s="66" t="s">
        <v>19</v>
      </c>
      <c r="C19" s="67"/>
      <c r="D19" s="67"/>
      <c r="E19" s="20">
        <f>patrimonio_acumulado*rendimento_carteira</f>
        <v>583.8821100724133</v>
      </c>
    </row>
    <row r="20" spans="1:9" ht="15.5" thickTop="1" thickBot="1" x14ac:dyDescent="0.4"/>
    <row r="21" spans="1:9" ht="25.5" thickTop="1" x14ac:dyDescent="0.35">
      <c r="B21" s="57" t="s">
        <v>4</v>
      </c>
      <c r="C21" s="58"/>
      <c r="D21" s="5" t="s">
        <v>10</v>
      </c>
      <c r="E21" s="6" t="s">
        <v>11</v>
      </c>
    </row>
    <row r="22" spans="1:9" x14ac:dyDescent="0.35">
      <c r="A22" s="4">
        <v>2</v>
      </c>
      <c r="B22" s="68" t="s">
        <v>5</v>
      </c>
      <c r="C22" s="69"/>
      <c r="D22" s="7">
        <f>FV(taxa_fundo,(dois_anos*12),(aporte_mensal*-1))</f>
        <v>10891.050919058087</v>
      </c>
      <c r="E22" s="8">
        <f>D22*rendimento_carteira</f>
        <v>65.346305514348529</v>
      </c>
    </row>
    <row r="23" spans="1:9" x14ac:dyDescent="0.35">
      <c r="A23" s="4">
        <v>5</v>
      </c>
      <c r="B23" s="53" t="s">
        <v>6</v>
      </c>
      <c r="C23" s="54"/>
      <c r="D23" s="9">
        <f>FV(taxa_fundo,(cinco_anos*12),(aporte_mensal*-1))</f>
        <v>33510.765599395054</v>
      </c>
      <c r="E23" s="10">
        <f>D23*rendimento_carteira</f>
        <v>201.06459359637032</v>
      </c>
    </row>
    <row r="24" spans="1:9" x14ac:dyDescent="0.35">
      <c r="A24" s="4">
        <v>10</v>
      </c>
      <c r="B24" s="53" t="s">
        <v>7</v>
      </c>
      <c r="C24" s="54"/>
      <c r="D24" s="9">
        <f>FV(taxa_fundo,(dez_anos*12),(aporte_mensal*-1))</f>
        <v>97313.685012068876</v>
      </c>
      <c r="E24" s="10">
        <f>D24*rendimento_carteira</f>
        <v>583.8821100724133</v>
      </c>
    </row>
    <row r="25" spans="1:9" x14ac:dyDescent="0.35">
      <c r="A25" s="4">
        <v>20</v>
      </c>
      <c r="B25" s="53" t="s">
        <v>8</v>
      </c>
      <c r="C25" s="54"/>
      <c r="D25" s="9">
        <f>FV(taxa_fundo,(vinte_anos*12),(aporte_mensal*-1))</f>
        <v>450079.36003883224</v>
      </c>
      <c r="E25" s="10">
        <f>D25*rendimento_carteira</f>
        <v>2700.4761602329936</v>
      </c>
    </row>
    <row r="26" spans="1:9" ht="15" thickBot="1" x14ac:dyDescent="0.4">
      <c r="A26" s="4">
        <v>30</v>
      </c>
      <c r="B26" s="55" t="s">
        <v>9</v>
      </c>
      <c r="C26" s="56"/>
      <c r="D26" s="11">
        <f>FV(taxa_fundo,(trinta_anos*12),(aporte_mensal*-1))</f>
        <v>1728867.8620018859</v>
      </c>
      <c r="E26" s="12">
        <f>D26*rendimento_carteira</f>
        <v>10373.207172011316</v>
      </c>
    </row>
    <row r="27" spans="1:9" ht="15" thickTop="1" x14ac:dyDescent="0.35"/>
    <row r="28" spans="1:9" x14ac:dyDescent="0.35"/>
    <row r="29" spans="1:9" x14ac:dyDescent="0.35"/>
    <row r="30" spans="1:9" x14ac:dyDescent="0.35"/>
  </sheetData>
  <sheetProtection sheet="1" objects="1" scenarios="1" formatColumns="0"/>
  <mergeCells count="21">
    <mergeCell ref="B25:C25"/>
    <mergeCell ref="B26:C26"/>
    <mergeCell ref="B21:C21"/>
    <mergeCell ref="G7:I7"/>
    <mergeCell ref="G8:H8"/>
    <mergeCell ref="G9:H9"/>
    <mergeCell ref="B19:D19"/>
    <mergeCell ref="B22:C22"/>
    <mergeCell ref="B23:C23"/>
    <mergeCell ref="B24:C24"/>
    <mergeCell ref="B17:D17"/>
    <mergeCell ref="B15:D15"/>
    <mergeCell ref="B16:D16"/>
    <mergeCell ref="B18:D18"/>
    <mergeCell ref="B13:E14"/>
    <mergeCell ref="B8:D8"/>
    <mergeCell ref="B9:D9"/>
    <mergeCell ref="B10:D10"/>
    <mergeCell ref="B11:D11"/>
    <mergeCell ref="B7:E7"/>
    <mergeCell ref="C1:J5"/>
  </mergeCells>
  <conditionalFormatting sqref="G8 I8">
    <cfRule type="expression" dxfId="2" priority="1">
      <formula>$I$8="Agressivo"</formula>
    </cfRule>
    <cfRule type="expression" dxfId="1" priority="2">
      <formula>$I$8="Conservador"</formula>
    </cfRule>
    <cfRule type="expression" dxfId="0" priority="3">
      <formula>$I$8="Moderado"</formula>
    </cfRule>
  </conditionalFormatting>
  <dataValidations count="15">
    <dataValidation allowBlank="1" showInputMessage="1" showErrorMessage="1" promptTitle="Salário Mensal" prompt="Preencha seu salário mensal" sqref="B8:D8" xr:uid="{4B3BB818-D454-4671-A145-DE89494C38C7}"/>
    <dataValidation allowBlank="1" showInputMessage="1" showErrorMessage="1" promptTitle="Rendimento da Carteira" prompt="Preencha o rendimento esperado da carteira de investimentos" sqref="B9:D9" xr:uid="{3D3F47E0-F12B-49BC-A4F6-5D2F53C5B110}"/>
    <dataValidation allowBlank="1" showInputMessage="1" showErrorMessage="1" promptTitle="Percentual de Investimento" prompt="Preencha o percentual de está disposto a investir do seu salário mensal (Ex.: 10%, 30%)" sqref="B10:D10" xr:uid="{61D11C67-E764-4A54-B079-EE60CD54585A}"/>
    <dataValidation allowBlank="1" showInputMessage="1" showErrorMessage="1" promptTitle="Investimento Mensal" prompt="Valor a ser investido mensalmente" sqref="B11:D11" xr:uid="{32BAA721-A936-4FD0-9223-DAD24A9FA83B}"/>
    <dataValidation allowBlank="1" showInputMessage="1" showErrorMessage="1" promptTitle="Tempo em Anos" prompt="Preencha por quantos anos pretende investir" sqref="B15:D15" xr:uid="{92B035F0-D93C-4389-B3DB-C7022112BB30}"/>
    <dataValidation allowBlank="1" showInputMessage="1" showErrorMessage="1" promptTitle="Taxa de Rendimento Mensal" prompt="Preencha a taxa de rendimento do Fundo Imobiliário" sqref="B16:D16" xr:uid="{AFE1B69E-E73D-4F67-A190-19E737A93E2A}"/>
    <dataValidation allowBlank="1" showInputMessage="1" showErrorMessage="1" promptTitle="Patrimônio Acumulado" prompt="Patrimônio que será acumulado investindo mensalmente o valor de aporte mensal pelo tempo escolhido._x000a_" sqref="B18:D18" xr:uid="{3CF7D301-D174-4385-9BA1-7D1A835535EB}"/>
    <dataValidation allowBlank="1" showInputMessage="1" showErrorMessage="1" promptTitle="Dividendos Mensais" prompt="Dividendos a serem recebidos mensalmente, com base no patrimônio acumulado e a taxa de rendimento da carteira." sqref="B19:D19" xr:uid="{A326DC5B-59E0-4316-9072-24B3FB3060CC}"/>
    <dataValidation allowBlank="1" showInputMessage="1" showErrorMessage="1" promptTitle="2 anos" prompt="Patrimônio acumulado e dividendos mensais - Investimento mensalmente o valor de aporte mensal durante 2 anos" sqref="B22:C22" xr:uid="{1F5EC633-F4EA-47EF-84B5-802ED16E6CC8}"/>
    <dataValidation allowBlank="1" showInputMessage="1" showErrorMessage="1" promptTitle="5 Anos" prompt="Patrimônio acumulado e dividendos mensais - Investimento mensalmente o valor de aporte mensal durante 5 anos" sqref="B23:C23" xr:uid="{07343884-B266-45C1-9CD4-7F8B2BA5A78A}"/>
    <dataValidation allowBlank="1" showInputMessage="1" showErrorMessage="1" promptTitle="10 Anos" prompt="Patrimônio acumulado e dividendos mensais - Investimento mensalmente o valor de aporte mensal durante 10 anos" sqref="B24:C24" xr:uid="{D9A1C67D-99DD-4D39-AA19-89E8F6B7D162}"/>
    <dataValidation allowBlank="1" showInputMessage="1" showErrorMessage="1" promptTitle="20 Anos" prompt="Patrimônio acumulado e dividendos mensais - Investimento mensalmente o valor de aporte mensal durante 20 anos" sqref="B25:C25" xr:uid="{81D91FFB-A47F-4329-8618-2BA26739F7F3}"/>
    <dataValidation allowBlank="1" showInputMessage="1" showErrorMessage="1" promptTitle="30 Anos" prompt="Patrimônio acumulado e dividendos mensais - Investimento mensalmente o valor de aporte mensal durante 30 anos" sqref="B26:C26" xr:uid="{444C8442-E99E-4042-8908-B97F30556C28}"/>
    <dataValidation type="list" allowBlank="1" showInputMessage="1" showErrorMessage="1" sqref="I8" xr:uid="{A5717E24-3175-48E3-994D-9E833B20EA01}">
      <formula1>"Conservador,Moderado,Agressivo"</formula1>
    </dataValidation>
    <dataValidation allowBlank="1" showInputMessage="1" showErrorMessage="1" promptTitle="Perfil de Investidor" prompt="Escolha seu perfil de investidor e receba recomendações de diversificação de carteira" sqref="G8:H8" xr:uid="{45988F7B-B509-4C74-818C-93ADA894D6BC}"/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E1691-226F-416D-AB68-1A0FF25BA413}">
  <dimension ref="A2:H21"/>
  <sheetViews>
    <sheetView showGridLines="0" zoomScale="115" zoomScaleNormal="115" workbookViewId="0">
      <selection activeCell="G3" sqref="G3"/>
    </sheetView>
  </sheetViews>
  <sheetFormatPr defaultRowHeight="14.5" x14ac:dyDescent="0.35"/>
  <cols>
    <col min="1" max="1" width="29.1796875" bestFit="1" customWidth="1"/>
    <col min="2" max="2" width="11.54296875" bestFit="1" customWidth="1"/>
    <col min="3" max="3" width="17.7265625" bestFit="1" customWidth="1"/>
    <col min="7" max="7" width="15.36328125" bestFit="1" customWidth="1"/>
  </cols>
  <sheetData>
    <row r="2" spans="1:8" x14ac:dyDescent="0.35">
      <c r="A2" s="21" t="s">
        <v>20</v>
      </c>
      <c r="B2" s="21" t="s">
        <v>21</v>
      </c>
      <c r="C2" s="22" t="s">
        <v>22</v>
      </c>
      <c r="D2" s="22" t="s">
        <v>23</v>
      </c>
    </row>
    <row r="3" spans="1:8" x14ac:dyDescent="0.35">
      <c r="A3" t="str">
        <f>B3&amp;"-"&amp;C3</f>
        <v>Conservador-PAPEL</v>
      </c>
      <c r="B3" t="s">
        <v>24</v>
      </c>
      <c r="C3" s="3" t="s">
        <v>25</v>
      </c>
      <c r="D3" s="23">
        <v>0.3</v>
      </c>
      <c r="H3" t="s">
        <v>23</v>
      </c>
    </row>
    <row r="4" spans="1:8" x14ac:dyDescent="0.35">
      <c r="A4" t="str">
        <f t="shared" ref="A4:A20" si="0">B4&amp;"-"&amp;C4</f>
        <v>Conservador-TIJOLO</v>
      </c>
      <c r="B4" t="s">
        <v>24</v>
      </c>
      <c r="C4" s="3" t="s">
        <v>26</v>
      </c>
      <c r="D4" s="23">
        <v>0.5</v>
      </c>
      <c r="G4" s="24" t="s">
        <v>27</v>
      </c>
      <c r="H4" s="25">
        <f>VLOOKUP(G4,$A:$D,4,FALSE)</f>
        <v>0.35</v>
      </c>
    </row>
    <row r="5" spans="1:8" x14ac:dyDescent="0.35">
      <c r="A5" t="str">
        <f t="shared" si="0"/>
        <v>Conservador-HÍBRIDOS</v>
      </c>
      <c r="B5" t="s">
        <v>24</v>
      </c>
      <c r="C5" s="3" t="s">
        <v>28</v>
      </c>
      <c r="D5" s="23">
        <v>0.1</v>
      </c>
    </row>
    <row r="6" spans="1:8" x14ac:dyDescent="0.35">
      <c r="A6" t="str">
        <f t="shared" si="0"/>
        <v>Conservador-FOFs</v>
      </c>
      <c r="B6" t="s">
        <v>24</v>
      </c>
      <c r="C6" s="3" t="s">
        <v>29</v>
      </c>
      <c r="D6" s="23">
        <v>0.1</v>
      </c>
    </row>
    <row r="7" spans="1:8" x14ac:dyDescent="0.35">
      <c r="A7" t="str">
        <f t="shared" si="0"/>
        <v>Conservador-DESENVOLVIMENTO</v>
      </c>
      <c r="B7" t="s">
        <v>24</v>
      </c>
      <c r="C7" s="3" t="s">
        <v>30</v>
      </c>
      <c r="D7" s="23">
        <v>0</v>
      </c>
    </row>
    <row r="8" spans="1:8" ht="15" thickBot="1" x14ac:dyDescent="0.4">
      <c r="A8" s="26" t="str">
        <f t="shared" si="0"/>
        <v>Conservador-HOTELARIAS</v>
      </c>
      <c r="B8" s="26" t="s">
        <v>24</v>
      </c>
      <c r="C8" s="27" t="s">
        <v>31</v>
      </c>
      <c r="D8" s="28">
        <v>0</v>
      </c>
    </row>
    <row r="9" spans="1:8" x14ac:dyDescent="0.35">
      <c r="A9" t="str">
        <f t="shared" si="0"/>
        <v>Moderado-PAPEL</v>
      </c>
      <c r="B9" t="s">
        <v>32</v>
      </c>
      <c r="C9" s="3" t="s">
        <v>25</v>
      </c>
      <c r="D9" s="23">
        <v>0.32</v>
      </c>
    </row>
    <row r="10" spans="1:8" x14ac:dyDescent="0.35">
      <c r="A10" s="29" t="str">
        <f t="shared" si="0"/>
        <v>Moderado-TIJOLO</v>
      </c>
      <c r="B10" s="29" t="s">
        <v>32</v>
      </c>
      <c r="C10" s="30" t="s">
        <v>26</v>
      </c>
      <c r="D10" s="31">
        <v>0.35</v>
      </c>
    </row>
    <row r="11" spans="1:8" x14ac:dyDescent="0.35">
      <c r="A11" t="str">
        <f t="shared" si="0"/>
        <v>Moderado-HÍBRIDOS</v>
      </c>
      <c r="B11" t="s">
        <v>32</v>
      </c>
      <c r="C11" s="3" t="s">
        <v>28</v>
      </c>
      <c r="D11" s="23">
        <v>0.08</v>
      </c>
    </row>
    <row r="12" spans="1:8" x14ac:dyDescent="0.35">
      <c r="A12" t="str">
        <f t="shared" si="0"/>
        <v>Moderado-FOFs</v>
      </c>
      <c r="B12" t="s">
        <v>32</v>
      </c>
      <c r="C12" s="3" t="s">
        <v>29</v>
      </c>
      <c r="D12" s="23">
        <v>0.05</v>
      </c>
    </row>
    <row r="13" spans="1:8" x14ac:dyDescent="0.35">
      <c r="A13" t="str">
        <f t="shared" si="0"/>
        <v>Moderado-DESENVOLVIMENTO</v>
      </c>
      <c r="B13" t="s">
        <v>32</v>
      </c>
      <c r="C13" s="3" t="s">
        <v>30</v>
      </c>
      <c r="D13" s="23">
        <v>0.1</v>
      </c>
    </row>
    <row r="14" spans="1:8" ht="15" thickBot="1" x14ac:dyDescent="0.4">
      <c r="A14" s="26" t="str">
        <f t="shared" si="0"/>
        <v>Moderado-HOTELARIAS</v>
      </c>
      <c r="B14" s="26" t="s">
        <v>32</v>
      </c>
      <c r="C14" s="27" t="s">
        <v>31</v>
      </c>
      <c r="D14" s="28">
        <v>0.1</v>
      </c>
    </row>
    <row r="15" spans="1:8" x14ac:dyDescent="0.35">
      <c r="A15" t="str">
        <f t="shared" si="0"/>
        <v>Agressivo-PAPEL</v>
      </c>
      <c r="B15" t="s">
        <v>33</v>
      </c>
      <c r="C15" s="3" t="s">
        <v>25</v>
      </c>
      <c r="D15" s="23">
        <v>0.5</v>
      </c>
    </row>
    <row r="16" spans="1:8" x14ac:dyDescent="0.35">
      <c r="A16" t="str">
        <f t="shared" si="0"/>
        <v>Agressivo-TIJOLO</v>
      </c>
      <c r="B16" t="s">
        <v>33</v>
      </c>
      <c r="C16" s="3" t="s">
        <v>26</v>
      </c>
      <c r="D16" s="23">
        <v>0.1</v>
      </c>
    </row>
    <row r="17" spans="1:4" x14ac:dyDescent="0.35">
      <c r="A17" t="str">
        <f t="shared" si="0"/>
        <v>Agressivo-HÍBRIDOS</v>
      </c>
      <c r="B17" t="s">
        <v>33</v>
      </c>
      <c r="C17" s="3" t="s">
        <v>28</v>
      </c>
      <c r="D17" s="23">
        <v>0.05</v>
      </c>
    </row>
    <row r="18" spans="1:4" x14ac:dyDescent="0.35">
      <c r="A18" t="str">
        <f t="shared" si="0"/>
        <v>Agressivo-FOFs</v>
      </c>
      <c r="B18" t="s">
        <v>33</v>
      </c>
      <c r="C18" s="3" t="s">
        <v>29</v>
      </c>
      <c r="D18" s="23">
        <v>0.05</v>
      </c>
    </row>
    <row r="19" spans="1:4" x14ac:dyDescent="0.35">
      <c r="A19" t="str">
        <f t="shared" si="0"/>
        <v>Agressivo-DESENVOLVIMENTO</v>
      </c>
      <c r="B19" t="s">
        <v>33</v>
      </c>
      <c r="C19" s="3" t="s">
        <v>30</v>
      </c>
      <c r="D19" s="23">
        <v>0.2</v>
      </c>
    </row>
    <row r="20" spans="1:4" x14ac:dyDescent="0.35">
      <c r="A20" t="str">
        <f t="shared" si="0"/>
        <v>Agressivo-HOTELARIAS</v>
      </c>
      <c r="B20" t="s">
        <v>33</v>
      </c>
      <c r="C20" s="3" t="s">
        <v>31</v>
      </c>
      <c r="D20" s="23">
        <v>0.1</v>
      </c>
    </row>
    <row r="21" spans="1:4" x14ac:dyDescent="0.35">
      <c r="D21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13</vt:i4>
      </vt:variant>
    </vt:vector>
  </HeadingPairs>
  <TitlesOfParts>
    <vt:vector size="15" baseType="lpstr">
      <vt:lpstr>Simulador</vt:lpstr>
      <vt:lpstr>Auxiliar</vt:lpstr>
      <vt:lpstr>aporte_mensal</vt:lpstr>
      <vt:lpstr>cinco_anos</vt:lpstr>
      <vt:lpstr>dez_anos</vt:lpstr>
      <vt:lpstr>dois_anos</vt:lpstr>
      <vt:lpstr>investimento_mensal</vt:lpstr>
      <vt:lpstr>patrimonio_acumulado</vt:lpstr>
      <vt:lpstr>percentual_investimento</vt:lpstr>
      <vt:lpstr>rendimento_carteira</vt:lpstr>
      <vt:lpstr>salario_mensal</vt:lpstr>
      <vt:lpstr>taxa_fundo</vt:lpstr>
      <vt:lpstr>tempo_investimento</vt:lpstr>
      <vt:lpstr>trinta_anos</vt:lpstr>
      <vt:lpstr>vinte_anos</vt:lpstr>
    </vt:vector>
  </TitlesOfParts>
  <Company>Amcor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Giovana Leardine</dc:creator>
  <cp:lastModifiedBy>Giovana Leardine</cp:lastModifiedBy>
  <dcterms:created xsi:type="dcterms:W3CDTF">2026-09-24T18:31:51Z</dcterms:created>
  <dcterms:modified xsi:type="dcterms:W3CDTF">2026-10-14T14:08:48Z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